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AppData\Local\Temp\hailan_sql_excel_20261016\"/>
    </mc:Choice>
  </mc:AlternateContent>
  <bookViews>
    <workbookView firstSheet="9" activeTab="9"/>
  </bookViews>
  <sheets>
    <sheet name="01_渠道经营" sheetId="1" r:id="rId1"/>
    <sheet name="02_整体广告预算" sheetId="2" r:id="rId2"/>
    <sheet name="03_EU每日销售" sheetId="3" r:id="rId3"/>
    <sheet name="04_EU优惠券异常" sheetId="4" r:id="rId4"/>
    <sheet name="05_广告效率" sheetId="5" r:id="rId5"/>
    <sheet name="06_成本构成" sheetId="6" r:id="rId6"/>
    <sheet name="07_TK广告上限" sheetId="7" r:id="rId7"/>
    <sheet name="08_商品库存" sheetId="8" r:id="rId8"/>
    <sheet name="09_四段异常" sheetId="9" r:id="rId9"/>
    <sheet name="10_销售目标对比" sheetId="10" r:id="rId10"/>
    <sheet name="11_EU转化率对比" sheetId="11" r:id="rId11"/>
    <sheet name="12_TK利润瀑布" sheetId="12" r:id="rId12"/>
  </sheets>
  <definedNames>
    <definedName name="_xlnm.Print_Area" localSheetId="9">'10_销售目标对比'!$A$13:$L$32</definedName>
    <definedName name="_xlnm.Print_Area" localSheetId="10">'11_EU转化率对比'!$A$13:$L$32</definedName>
    <definedName name="_xlnm.Print_Area" localSheetId="11">'12_TK利润瀑布'!$A$14:$S$45</definedName>
    <definedName name="_xlchart.v1.0" hidden="1">'12_TK利润瀑布'!$A$2:$A$10</definedName>
    <definedName name="_xlchart.v1.1" hidden="1">'12_TK利润瀑布'!$B$2:$B$10</definedName>
    <definedName name="_xlchart.v1.2" hidden="1">'12_TK利润瀑布'!$B$1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<sst xmlns="http://schemas.openxmlformats.org/spreadsheetml/2006/main" count="251" uniqueCount="140">
  <si>
    <t>渠道</t>
  </si>
  <si>
    <t>目标Sales($)</t>
  </si>
  <si>
    <t>实际Sales($)</t>
  </si>
  <si>
    <t>达成率(%)</t>
  </si>
  <si>
    <t>超额或缺口($)</t>
  </si>
  <si>
    <t>经营利润($)</t>
  </si>
  <si>
    <t>利润率(%)</t>
  </si>
  <si>
    <t>Amazon US</t>
  </si>
  <si>
    <t>Amazon EU</t>
  </si>
  <si>
    <t>TikTok Shop SEA</t>
  </si>
  <si>
    <t>总销售额($)</t>
  </si>
  <si>
    <t>广告花费($)</t>
  </si>
  <si>
    <t>批准广告预算($)</t>
  </si>
  <si>
    <t>超预算金额($)</t>
  </si>
  <si>
    <t>日期</t>
  </si>
  <si>
    <t>访问会话数</t>
  </si>
  <si>
    <t>订单量</t>
  </si>
  <si>
    <t>销售额($)</t>
  </si>
  <si>
    <t>订单转化率(%)</t>
  </si>
  <si>
    <t>客单价($)</t>
  </si>
  <si>
    <t>比较时段</t>
  </si>
  <si>
    <t>小时数</t>
  </si>
  <si>
    <t>异常前</t>
  </si>
  <si>
    <t>异常期间</t>
  </si>
  <si>
    <t>异常后</t>
  </si>
  <si>
    <t>后续同时间</t>
  </si>
  <si>
    <t>广告类型</t>
  </si>
  <si>
    <t>花费($)</t>
  </si>
  <si>
    <t>站点花费占比(%)</t>
  </si>
  <si>
    <t>ROAS</t>
  </si>
  <si>
    <t>ROAS变化(%)</t>
  </si>
  <si>
    <t>CPC变化(%)</t>
  </si>
  <si>
    <t>SP-品类词</t>
  </si>
  <si>
    <t>SP-品牌词</t>
  </si>
  <si>
    <t>SB-品牌广告</t>
  </si>
  <si>
    <t>DSP再营销</t>
  </si>
  <si>
    <t>直播间投流</t>
  </si>
  <si>
    <t>达人短视频</t>
  </si>
  <si>
    <t>再营销</t>
  </si>
  <si>
    <t>项目</t>
  </si>
  <si>
    <t>费用($)</t>
  </si>
  <si>
    <t>占销售额比例(%)</t>
  </si>
  <si>
    <t>COGS</t>
  </si>
  <si>
    <t>履约/FBA</t>
  </si>
  <si>
    <t>平台佣金</t>
  </si>
  <si>
    <t>广告费用</t>
  </si>
  <si>
    <t>头程运费分摊</t>
  </si>
  <si>
    <t>退货成本</t>
  </si>
  <si>
    <t>其他费用</t>
  </si>
  <si>
    <t>非广告成本($)</t>
  </si>
  <si>
    <t>静态保本广告上限($)</t>
  </si>
  <si>
    <t>实际广告花费($)</t>
  </si>
  <si>
    <t>超过保本上限金额($)</t>
  </si>
  <si>
    <t>ASIN</t>
  </si>
  <si>
    <t>产品名称</t>
  </si>
  <si>
    <t>Sales($)</t>
  </si>
  <si>
    <t>销售贡献(%)</t>
  </si>
  <si>
    <t>广告占销售(%)</t>
  </si>
  <si>
    <t>活动库存消化率(%)</t>
  </si>
  <si>
    <t>BF后库存</t>
  </si>
  <si>
    <t>期末库存占比(%)</t>
  </si>
  <si>
    <t>状态</t>
  </si>
  <si>
    <t>MULTI-EU</t>
  </si>
  <si>
    <t>Other Amazon EU SKUs</t>
  </si>
  <si>
    <t>长尾库存偏高</t>
  </si>
  <si>
    <t>B0EU1A2B3C</t>
  </si>
  <si>
    <t>Foldable Storage Ottoman</t>
  </si>
  <si>
    <t>正常</t>
  </si>
  <si>
    <t>B0EU7G8H9I</t>
  </si>
  <si>
    <t>Drawer Organizer Trays</t>
  </si>
  <si>
    <t>B0EU4D5E6F</t>
  </si>
  <si>
    <t>Kitchen Towel Rack</t>
  </si>
  <si>
    <t>B0EU2J3K4L</t>
  </si>
  <si>
    <t>Bathroom Shelf Set</t>
  </si>
  <si>
    <t>库存偏高</t>
  </si>
  <si>
    <t>MULTI-US</t>
  </si>
  <si>
    <t>Other Amazon US SKUs</t>
  </si>
  <si>
    <t>部分库存偏高</t>
  </si>
  <si>
    <t>B0B5P6Q7R8</t>
  </si>
  <si>
    <t>Silicone Kitchen Utensils 5-Pack</t>
  </si>
  <si>
    <t>售罄</t>
  </si>
  <si>
    <t>B0C9S0T1U2</t>
  </si>
  <si>
    <t>Magnetic Knife Holder Strip</t>
  </si>
  <si>
    <t>B0A1K2M3N4</t>
  </si>
  <si>
    <t>Bamboo Kitchen Organizer Rack</t>
  </si>
  <si>
    <t>B0J7O8P9Q0</t>
  </si>
  <si>
    <t>Drawer Divider Organizer</t>
  </si>
  <si>
    <t>B0N3A4B5C6</t>
  </si>
  <si>
    <t>Decorative Storage Baskets 3-Pack</t>
  </si>
  <si>
    <t>B0D3V4W5X6</t>
  </si>
  <si>
    <t>Kitchen Storage Container Set</t>
  </si>
  <si>
    <t>B0O7D8E9F0</t>
  </si>
  <si>
    <t>Under Sink Organizer Shelf</t>
  </si>
  <si>
    <t>B0G5E6F7G8</t>
  </si>
  <si>
    <t>Silicone Stretch Lids 6-Pack</t>
  </si>
  <si>
    <t>B0F1B2C3D4</t>
  </si>
  <si>
    <t>Spice Rack Organizer Rotating</t>
  </si>
  <si>
    <t>MULTI-TT</t>
  </si>
  <si>
    <t>Other TikTok SEA SKUs</t>
  </si>
  <si>
    <t>B0TT1M2N3O</t>
  </si>
  <si>
    <t>Stackable Pantry Bins</t>
  </si>
  <si>
    <t>B0TT7S8T9U</t>
  </si>
  <si>
    <t>Airtight Food Container 4-Pack</t>
  </si>
  <si>
    <t>接近售罄</t>
  </si>
  <si>
    <t>B0TT4P5Q6R</t>
  </si>
  <si>
    <t>Mini Desk Organizer</t>
  </si>
  <si>
    <t>B0TT2V3W4X</t>
  </si>
  <si>
    <t>Decorative Wall Hooks</t>
  </si>
  <si>
    <t>备注</t>
  </si>
  <si>
    <t>起始小时</t>
  </si>
  <si>
    <t>末条小时</t>
  </si>
  <si>
    <t>标记小时数</t>
  </si>
  <si>
    <t>促销价低于计划，配置待核对</t>
  </si>
  <si>
    <t>08:00</t>
  </si>
  <si>
    <t>11:00</t>
  </si>
  <si>
    <t>Coupon同步延迟，CVR偏低</t>
  </si>
  <si>
    <t>14:00</t>
  </si>
  <si>
    <t>17:00</t>
  </si>
  <si>
    <t>订单集中，履约队列拉长</t>
  </si>
  <si>
    <t>00:00</t>
  </si>
  <si>
    <t>10:00</t>
  </si>
  <si>
    <t>库存同步延迟，待核对</t>
  </si>
  <si>
    <t>13:00</t>
  </si>
  <si>
    <t>站点</t>
  </si>
  <si>
    <t>目标销售额（万美元）</t>
  </si>
  <si>
    <t>实际销售额（万美元）</t>
  </si>
  <si>
    <t>TikTok SEA</t>
  </si>
  <si>
    <t>比较时段（ET）</t>
  </si>
  <si>
    <t>订单转化率</t>
  </si>
  <si>
    <t>11月29日10—14点</t>
  </si>
  <si>
    <t>11月29日14—18点（延迟）</t>
  </si>
  <si>
    <t>11月29日18—22点</t>
  </si>
  <si>
    <t>11月30日14—18点</t>
  </si>
  <si>
    <t>12月1日14—18点</t>
  </si>
  <si>
    <t>金额（美元）</t>
  </si>
  <si>
    <t>销售收入</t>
  </si>
  <si>
    <t>采购成本</t>
  </si>
  <si>
    <t>履约费用</t>
  </si>
  <si>
    <t>头程运费</t>
  </si>
  <si>
    <t>经营利润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</si>
</sst>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2" fontId="2" fillId="0" borderId="0" xfId="49" applyNumberFormat="1" applyFont="1" applyFill="1" applyBorder="1"/>
    <xf numFmtId="10" fontId="2" fillId="0" borderId="0" xfId="49" applyNumberFormat="1" applyFont="1" applyFill="1" applyBorder="1"/>
    <xf numFmtId="0" fontId="3" fillId="0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/>
    </xf>
    <xf numFmtId="176" fontId="4" fillId="0" borderId="0" xfId="49" applyNumberFormat="1" applyFont="1" applyFill="1" applyBorder="1" applyAlignment="1">
      <alignment vertical="center"/>
    </xf>
    <xf numFmtId="1" fontId="4" fillId="0" borderId="0" xfId="49" applyNumberFormat="1" applyFont="1" applyFill="1" applyBorder="1" applyAlignment="1">
      <alignment vertical="center"/>
    </xf>
    <xf numFmtId="2" fontId="4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worksheet" Target="worksheets/sheet9.xml" /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5" Type="http://schemas.openxmlformats.org/officeDocument/2006/relationships/styles" Target="styles.xml" /><ns0:Relationship Id="rId14" Type="http://schemas.openxmlformats.org/officeDocument/2006/relationships/sharedStrings" Target="sharedStrings.xml" /><ns0:Relationship Id="rId13" Type="http://schemas.openxmlformats.org/officeDocument/2006/relationships/theme" Target="theme/theme1.xml" /><ns0:Relationship Id="rId12" Type="http://schemas.openxmlformats.org/officeDocument/2006/relationships/worksheet" Target="worksheets/sheet12.xml" /><ns0:Relationship Id="rId11" Type="http://schemas.openxmlformats.org/officeDocument/2006/relationships/worksheet" Target="worksheets/sheet11.xml" /><ns0:Relationship Id="rId10" Type="http://schemas.openxmlformats.org/officeDocument/2006/relationships/worksheet" Target="worksheets/sheet10.xml" /><ns0:Relationship Id="rId1" Type="http://schemas.openxmlformats.org/officeDocument/2006/relationships/worksheet" Target="worksheets/sheet1.xml" /></ns0:Relationships>
</file>

<file path=xl/charts/_rels/chartEx1.xml.rels><?xml version='1.0' encoding='utf-8'?>
<ns0:Relationships xmlns:ns0="http://schemas.openxmlformats.org/package/2006/relationships"><ns0:Relationship Id="rId2" Type="http://schemas.microsoft.com/office/2011/relationships/chartColorStyle" Target="colors1.xml" /><ns0:Relationship Id="rId1" Type="http://schemas.microsoft.com/office/2011/relationships/chartStyle" Target="style1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500" b="1" i="0" u="none" strike="noStrike" kern="1200" baseline="0">
                <a:solidFill>
                  <a:schemeClr val="tx1"/>
                </a:solidFill>
                <a:latin typeface="+mn-lt"/>
                <a:ea typeface="微软雅黑" panose="020B0503020204020204" charset="-122"/>
                <a:cs typeface="+mn-cs"/>
              </a:defRPr>
            </a:pPr>
            <a:r>
              <a:rPr sz="15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各站点目标与实际销售额（万美元）</a:t>
            </a:r>
            <a:endParaRPr sz="15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"目标销售额（万美元）"</c:f>
              <c:strCache>
                <c:ptCount val="1"/>
                <c:pt idx="0">
                  <c:v>目标销售额（万美元）</c:v>
                </c:pt>
              </c:strCache>
            </c:strRef>
          </c:tx>
          <c:spPr>
            <a:solidFill>
              <a:srgbClr val="A7ADB4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微软雅黑" panose="020B050302020402020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'10_销售目标对比'!$A$2:$A$4</c:f>
              <c:strCache>
                <c:ptCount val="3"/>
                <c:pt idx="0">
                  <c:v>Amazon US</c:v>
                </c:pt>
                <c:pt idx="1">
                  <c:v>Amazon EU</c:v>
                </c:pt>
                <c:pt idx="2">
                  <c:v>TikTok SEA</c:v>
                </c:pt>
              </c:strCache>
            </c:strRef>
          </c:cat>
          <c:val>
            <c:numRef>
              <c:f>'10_销售目标对比'!$B$2:$B$4</c:f>
              <c:numCache>
                <c:formatCode>0.00</c:formatCode>
                <c:ptCount val="3"/>
                <c:pt idx="0">
                  <c:v>102</c:v>
                </c:pt>
                <c:pt idx="1">
                  <c:v>30</c:v>
                </c:pt>
                <c:pt idx="2">
                  <c:v>18</c:v>
                </c:pt>
              </c:numCache>
            </c:numRef>
          </c:val>
        </c:ser>
        <c:ser>
          <c:idx val="1"/>
          <c:order val="1"/>
          <c:tx>
            <c:strRef>
              <c:f>"实际销售额（万美元）"</c:f>
              <c:strCache>
                <c:ptCount val="1"/>
                <c:pt idx="0">
                  <c:v>实际销售额（万美元）</c:v>
                </c:pt>
              </c:strCache>
            </c:strRef>
          </c:tx>
          <c:spPr>
            <a:solidFill>
              <a:srgbClr val="416C91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微软雅黑" panose="020B050302020402020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'10_销售目标对比'!$A$2:$A$4</c:f>
              <c:strCache>
                <c:ptCount val="3"/>
                <c:pt idx="0">
                  <c:v>Amazon US</c:v>
                </c:pt>
                <c:pt idx="1">
                  <c:v>Amazon EU</c:v>
                </c:pt>
                <c:pt idx="2">
                  <c:v>TikTok SEA</c:v>
                </c:pt>
              </c:strCache>
            </c:strRef>
          </c:cat>
          <c:val>
            <c:numRef>
              <c:f>'10_销售目标对比'!$C$2:$C$4</c:f>
              <c:numCache>
                <c:formatCode>0.00</c:formatCode>
                <c:ptCount val="3"/>
                <c:pt idx="0">
                  <c:v>105.5</c:v>
                </c:pt>
                <c:pt idx="1">
                  <c:v>28.2</c:v>
                </c:pt>
                <c:pt idx="2">
                  <c:v>23.5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e38c60-3fbc-4201-a914-5723686de2aa}"/>
      </c:ext>
    </c:extLst>
  </c:chart>
  <c:spPr>
    <a:solidFill>
      <a:srgbClr val="FFFFFF"/>
    </a:solidFill>
    <a:ln w="12700">
      <a:noFill/>
      <a:prstDash val="solid"/>
      <a:round/>
    </a:ln>
  </c:spPr>
  <c:txPr>
    <a:bodyPr/>
    <a:lstStyle/>
    <a:p>
      <a:pPr>
        <a:defRPr lang="zh-CN" sz="1100"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500" b="1" i="0" u="none" strike="noStrike" kern="1200" baseline="0">
                <a:solidFill>
                  <a:schemeClr val="tx1"/>
                </a:solidFill>
                <a:latin typeface="+mn-lt"/>
                <a:ea typeface="微软雅黑" panose="020B0503020204020204" charset="-122"/>
                <a:cs typeface="+mn-cs"/>
              </a:defRPr>
            </a:pPr>
            <a:r>
              <a:rPr sz="15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rPr>
              <a:t>EU优惠券延迟时段订单转化率偏低</a:t>
            </a:r>
            <a:endParaRPr sz="15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"订单转化率"</c:f>
              <c:strCache>
                <c:ptCount val="1"/>
                <c:pt idx="0">
                  <c:v>订单转化率</c:v>
                </c:pt>
              </c:strCache>
            </c:strRef>
          </c:tx>
          <c:spPr>
            <a:solidFill>
              <a:srgbClr val="B0B0B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D58441"/>
              </a:solidFill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+mn-lt"/>
                    <a:ea typeface="微软雅黑" panose="020B050302020402020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'11_EU转化率对比'!$A$2:$A$6</c:f>
              <c:strCache>
                <c:ptCount val="5"/>
                <c:pt idx="0">
                  <c:v>11月29日10—14点</c:v>
                </c:pt>
                <c:pt idx="1">
                  <c:v>11月29日14—18点（延迟）</c:v>
                </c:pt>
                <c:pt idx="2">
                  <c:v>11月29日18—22点</c:v>
                </c:pt>
                <c:pt idx="3">
                  <c:v>11月30日14—18点</c:v>
                </c:pt>
                <c:pt idx="4">
                  <c:v>12月1日14—18点</c:v>
                </c:pt>
              </c:strCache>
            </c:strRef>
          </c:cat>
          <c:val>
            <c:numRef>
              <c:f>'11_EU转化率对比'!$B$2:$B$6</c:f>
              <c:numCache>
                <c:formatCode>0.00%</c:formatCode>
                <c:ptCount val="5"/>
                <c:pt idx="0">
                  <c:v>0.2782</c:v>
                </c:pt>
                <c:pt idx="1">
                  <c:v>0.173</c:v>
                </c:pt>
                <c:pt idx="2">
                  <c:v>0.2757</c:v>
                </c:pt>
                <c:pt idx="3">
                  <c:v>0.2719</c:v>
                </c:pt>
                <c:pt idx="4">
                  <c:v>0.2788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0.3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0aaf352-8ede-4464-ac1a-1d02cd48cea6}"/>
      </c:ext>
    </c:extLst>
  </c:chart>
  <c:spPr>
    <a:solidFill>
      <a:srgbClr val="FFFFFF"/>
    </a:solidFill>
    <a:ln w="12700">
      <a:noFill/>
      <a:prstDash val="solid"/>
      <a:round/>
    </a:ln>
  </c:spPr>
  <c:txPr>
    <a:bodyPr/>
    <a:lstStyle/>
    <a:p>
      <a:pPr>
        <a:defRPr lang="zh-CN" sz="1100">
          <a:ea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TikTok销售额扣除各项成本后亏损11510美元</cx:v>
        </cx:txData>
      </cx:tx>
      <cx:txPr>
        <a:bodyPr rot="0" spcFirstLastPara="0" vertOverflow="ellipsis" vert="horz" wrap="square" anchor="ctr" anchorCtr="1"/>
        <a:lstStyle/>
        <a:p>
          <a:pPr>
            <a:defRPr lang="zh-CN" sz="15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微软雅黑" panose="020B0503020204020204" charset="-122"/>
              <a:cs typeface="+mn-cs"/>
            </a:defRPr>
          </a:pPr>
          <a:r>
            <a:rPr sz="1500">
              <a:ea typeface="微软雅黑" panose="020B0503020204020204" charset="-122"/>
            </a:rPr>
            <a:t>TikTok销售额扣除各项成本后亏损11510美元</a:t>
          </a:r>
        </a:p>
      </cx:txPr>
    </cx:title>
    <cx:plotArea>
      <cx:plotAreaRegion>
        <cx:series layoutId="waterfall" uniqueId="{d3940a05-ec7f-4516-a148-573cc5268997}" formatIdx="0">
          <cx:tx>
            <cx:txData>
              <cx:f>_xlchart.v1.2</cx:f>
              <cx:v>金额（美元）</cx:v>
            </cx:txData>
          </cx:tx>
          <cx:dataPt idx="0">
            <cx:spPr>
              <a:solidFill>
                <a:srgbClr val="416C91"/>
              </a:solidFill>
            </cx:spPr>
          </cx:dataPt>
          <cx:dataPt idx="1">
            <cx:spPr>
              <a:solidFill>
                <a:srgbClr val="B0B0B0"/>
              </a:solidFill>
            </cx:spPr>
          </cx:dataPt>
          <cx:dataPt idx="2">
            <cx:spPr>
              <a:solidFill>
                <a:srgbClr val="B0B0B0"/>
              </a:solidFill>
            </cx:spPr>
          </cx:dataPt>
          <cx:dataPt idx="3">
            <cx:spPr>
              <a:solidFill>
                <a:srgbClr val="B0B0B0"/>
              </a:solidFill>
            </cx:spPr>
          </cx:dataPt>
          <cx:dataPt idx="4">
            <cx:spPr>
              <a:solidFill>
                <a:srgbClr val="B0B0B0"/>
              </a:solidFill>
            </cx:spPr>
          </cx:dataPt>
          <cx:dataPt idx="5">
            <cx:spPr>
              <a:solidFill>
                <a:srgbClr val="B0B0B0"/>
              </a:solidFill>
            </cx:spPr>
          </cx:dataPt>
          <cx:dataPt idx="6">
            <cx:spPr>
              <a:solidFill>
                <a:srgbClr val="B0B0B0"/>
              </a:solidFill>
            </cx:spPr>
          </cx:dataPt>
          <cx:dataPt idx="7">
            <cx:spPr>
              <a:solidFill>
                <a:srgbClr val="B0B0B0"/>
              </a:solidFill>
            </cx:spPr>
          </cx:dataPt>
          <cx:dataPt idx="8">
            <cx:spPr>
              <a:solidFill>
                <a:srgbClr val="416C91"/>
              </a:solidFill>
            </cx:spPr>
          </cx:dataPt>
          <cx:dataLabels pos="outEnd">
            <cx:numFmt formatCode="0.00" sourceLinked="1"/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微软雅黑" panose="020B0503020204020204" charset="-122"/>
                    <a:cs typeface="+mn-cs"/>
                  </a:defRPr>
                </a:pPr>
                <a:endParaRPr lang="zh-CN" sz="11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微软雅黑" panose="020B0503020204020204" charset="-122"/>
                  <a:cs typeface="+mn-cs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8"/>
              <cx:idx val="0"/>
            </cx:subtotals>
          </cx:layoutPr>
        </cx:series>
      </cx:plotAreaRegion>
      <cx:axis id="0">
        <cx:catScaling gapWidth="0.5"/>
        <cx:tickLabels/>
        <cx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微软雅黑" panose="020B0503020204020204" charset="-122"/>
                <a:cs typeface="+mn-cs"/>
              </a:defRPr>
            </a:pPr>
            <a:endParaRPr lang="zh-CN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微软雅黑" panose="020B0503020204020204" charset="-122"/>
              <a:cs typeface="+mn-cs"/>
            </a:endParaRPr>
          </a:p>
        </cx:txPr>
      </cx:axis>
      <cx:axis id="1">
        <cx:valScaling min="-30000"/>
        <cx:majorGridlines/>
        <cx:tickLabels/>
        <cx:numFmt formatCode="0.00" sourceLinked="1"/>
        <cx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微软雅黑" panose="020B0503020204020204" charset="-122"/>
                <a:cs typeface="+mn-cs"/>
              </a:defRPr>
            </a:pPr>
            <a:endParaRPr lang="zh-CN" sz="11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微软雅黑" panose="020B0503020204020204" charset="-122"/>
              <a:cs typeface="+mn-cs"/>
            </a:endParaRPr>
          </a:p>
        </cx:txPr>
      </cx:axis>
    </cx:plotArea>
  </cx:chart>
  <cx:spPr>
    <a:solidFill>
      <a:srgbClr val="FFFFFF"/>
    </a:solidFill>
    <a:ln w="9525" cap="flat" cmpd="sng" algn="ctr">
      <a:noFill/>
      <a:round/>
    </a:ln>
  </cx:spPr>
  <cx:txPr>
    <a:bodyPr/>
    <a:lstStyle/>
    <a:p>
      <a:pPr>
        <a:defRPr lang="zh-CN" sz="1100">
          <a:ea typeface="微软雅黑" panose="020B0503020204020204" charset="-122"/>
        </a:defRPr>
      </a:pPr>
      <a:endParaRPr lang="zh-CN" sz="1100">
        <a:ea typeface="微软雅黑" panose="020B0503020204020204" charset="-122"/>
      </a:endParaRPr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chart" Target="../charts/chart1.xml" /></ns0:Relationships>
</file>

<file path=xl/drawings/_rels/drawing2.xml.rels><?xml version='1.0' encoding='utf-8'?>
<ns0:Relationships xmlns:ns0="http://schemas.openxmlformats.org/package/2006/relationships"><ns0:Relationship Id="rId1" Type="http://schemas.openxmlformats.org/officeDocument/2006/relationships/chart" Target="../charts/chart2.xml" /></ns0:Relationships>
</file>

<file path=xl/drawings/_rels/drawing3.xml.rels><?xml version='1.0' encoding='utf-8'?>
<ns0:Relationships xmlns:ns0="http://schemas.openxmlformats.org/package/2006/relationships"><ns0:Relationship Id="rId1" Type="http://schemas.microsoft.com/office/2014/relationships/chartEx" Target="../charts/chartEx1.xml" /></ns0: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</xdr:row>
      <xdr:rowOff>0</xdr:rowOff>
    </xdr:from>
    <xdr:to>
      <xdr:col>11</xdr:col>
      <xdr:colOff>0</xdr:colOff>
      <xdr:row>31</xdr:row>
      <xdr:rowOff>0</xdr:rowOff>
    </xdr:to>
    <xdr:graphicFrame>
      <xdr:nvGraphicFramePr>
        <xdr:cNvPr id="2" name="Chart"/>
        <xdr:cNvGraphicFramePr/>
      </xdr:nvGraphicFramePr>
      <xdr:xfrm>
        <a:off x="0" y="2717800"/>
        <a:ext cx="10332720" cy="343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12</xdr:row>
      <xdr:rowOff>0</xdr:rowOff>
    </xdr:from>
    <xdr:to>
      <xdr:col>11</xdr:col>
      <xdr:colOff>0</xdr:colOff>
      <xdr:row>31</xdr:row>
      <xdr:rowOff>0</xdr:rowOff>
    </xdr:to>
    <xdr:graphicFrame>
      <xdr:nvGraphicFramePr>
        <xdr:cNvPr id="2" name="Chart"/>
        <xdr:cNvGraphicFramePr/>
      </xdr:nvGraphicFramePr>
      <xdr:xfrm>
        <a:off x="0" y="2990850"/>
        <a:ext cx="10117455" cy="343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127000</xdr:colOff>
      <xdr:row>13</xdr:row>
      <xdr:rowOff>123825</xdr:rowOff>
    </xdr:from>
    <xdr:to>
      <xdr:col>18</xdr:col>
      <xdr:colOff>285750</xdr:colOff>
      <xdr:row>44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图表 1"/>
            <xdr:cNvGraphicFramePr/>
          </xdr:nvGraphicFramePr>
          <xdr:xfrm>
            <a:off x="127000" y="3841750"/>
            <a:ext cx="13935710" cy="55880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3841750"/>
              <a:ext cx="13935710" cy="55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此WPS图表在当前版本无法正常显示。
编辑此形状或将此工作簿转换为其他文件格式将永久破坏图表。
请下载最新WPS桌面版使用。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1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2.xml" /></ns0:Relationships>
</file>

<file path=xl/worksheets/_rels/sheet12.xml.rels><?xml version='1.0' encoding='utf-8'?>
<ns0:Relationships xmlns:ns0="http://schemas.openxmlformats.org/package/2006/relationships"><ns0:Relationship Id="rId1" Type="http://schemas.openxmlformats.org/officeDocument/2006/relationships/drawing" Target="../drawings/drawing3.xml" /></ns0: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3" outlineLevelCol="6"/>
  <cols>
    <col min="1" max="1" width="25" customWidth="1"/>
    <col min="2" max="7" width="22" customWidth="1"/>
  </cols>
  <sheetData>
    <row r="1" ht="44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26" customHeight="1" spans="1:7">
      <c r="A2" s="6" t="s">
        <v>7</v>
      </c>
      <c r="B2" s="9">
        <v>1020000</v>
      </c>
      <c r="C2" s="9">
        <v>1055000</v>
      </c>
      <c r="D2" s="9">
        <v>103.43</v>
      </c>
      <c r="E2" s="9">
        <v>35000</v>
      </c>
      <c r="F2" s="9">
        <v>242875</v>
      </c>
      <c r="G2" s="9">
        <v>23.02</v>
      </c>
    </row>
    <row r="3" ht="26" customHeight="1" spans="1:7">
      <c r="A3" s="6" t="s">
        <v>8</v>
      </c>
      <c r="B3" s="9">
        <v>300000</v>
      </c>
      <c r="C3" s="9">
        <v>282000</v>
      </c>
      <c r="D3" s="9">
        <v>94</v>
      </c>
      <c r="E3" s="9">
        <v>-18000</v>
      </c>
      <c r="F3" s="9">
        <v>58010</v>
      </c>
      <c r="G3" s="9">
        <v>20.57</v>
      </c>
    </row>
    <row r="4" ht="26" customHeight="1" spans="1:7">
      <c r="A4" s="6" t="s">
        <v>9</v>
      </c>
      <c r="B4" s="9">
        <v>180000</v>
      </c>
      <c r="C4" s="9">
        <v>235000</v>
      </c>
      <c r="D4" s="9">
        <v>130.56</v>
      </c>
      <c r="E4" s="9">
        <v>55000</v>
      </c>
      <c r="F4" s="9">
        <v>-11510</v>
      </c>
      <c r="G4" s="9">
        <v>-4.9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 outlineLevelCol="3"/>
  <cols>
    <col min="1" max="4" width="22" customWidth="1"/>
  </cols>
  <sheetData>
    <row r="1" ht="44" customHeight="1" spans="1:4">
      <c r="A1" s="5" t="s">
        <v>10</v>
      </c>
      <c r="B1" s="5" t="s">
        <v>11</v>
      </c>
      <c r="C1" s="5" t="s">
        <v>12</v>
      </c>
      <c r="D1" s="5" t="s">
        <v>13</v>
      </c>
    </row>
    <row r="2" ht="26" customHeight="1" spans="1:4">
      <c r="A2" s="9">
        <v>1572000</v>
      </c>
      <c r="B2" s="9">
        <v>185000</v>
      </c>
      <c r="C2" s="9">
        <v>180000</v>
      </c>
      <c r="D2" s="9">
        <v>5000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3" outlineLevelCol="5"/>
  <cols>
    <col min="1" max="6" width="22" customWidth="1"/>
  </cols>
  <sheetData>
    <row r="1" ht="44" customHeight="1" spans="1:6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</row>
    <row r="2" ht="26" customHeight="1" spans="1:6">
      <c r="A2" s="7">
        <v>45625</v>
      </c>
      <c r="B2" s="8">
        <v>12983</v>
      </c>
      <c r="C2" s="8">
        <v>3382</v>
      </c>
      <c r="D2" s="9">
        <v>107160</v>
      </c>
      <c r="E2" s="9">
        <v>26.05</v>
      </c>
      <c r="F2" s="9">
        <v>31.69</v>
      </c>
    </row>
    <row r="3" ht="26" customHeight="1" spans="1:6">
      <c r="A3" s="7">
        <v>45626</v>
      </c>
      <c r="B3" s="8">
        <v>10868</v>
      </c>
      <c r="C3" s="8">
        <v>3026</v>
      </c>
      <c r="D3" s="9">
        <v>95880</v>
      </c>
      <c r="E3" s="9">
        <v>27.84</v>
      </c>
      <c r="F3" s="9">
        <v>31.69</v>
      </c>
    </row>
    <row r="4" ht="26" customHeight="1" spans="1:6">
      <c r="A4" s="7">
        <v>45627</v>
      </c>
      <c r="B4" s="8">
        <v>8942</v>
      </c>
      <c r="C4" s="8">
        <v>2492</v>
      </c>
      <c r="D4" s="9">
        <v>78960</v>
      </c>
      <c r="E4" s="9">
        <v>27.87</v>
      </c>
      <c r="F4" s="9">
        <v>31.69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5" outlineLevelCol="7"/>
  <cols>
    <col min="1" max="8" width="22" customWidth="1"/>
  </cols>
  <sheetData>
    <row r="1" ht="44" customHeight="1" spans="1:8">
      <c r="A1" s="5" t="s">
        <v>14</v>
      </c>
      <c r="B1" s="5" t="s">
        <v>20</v>
      </c>
      <c r="C1" s="5" t="s">
        <v>21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ht="26" customHeight="1" spans="1:8">
      <c r="A2" s="7">
        <v>45625</v>
      </c>
      <c r="B2" s="6" t="s">
        <v>22</v>
      </c>
      <c r="C2" s="8">
        <v>4</v>
      </c>
      <c r="D2" s="8">
        <v>4320</v>
      </c>
      <c r="E2" s="8">
        <v>1202</v>
      </c>
      <c r="F2" s="9">
        <v>38646.14</v>
      </c>
      <c r="G2" s="9">
        <v>27.82</v>
      </c>
      <c r="H2" s="9">
        <v>32.15</v>
      </c>
    </row>
    <row r="3" ht="26" customHeight="1" spans="1:8">
      <c r="A3" s="7">
        <v>45625</v>
      </c>
      <c r="B3" s="6" t="s">
        <v>23</v>
      </c>
      <c r="C3" s="8">
        <v>4</v>
      </c>
      <c r="D3" s="8">
        <v>2329</v>
      </c>
      <c r="E3" s="8">
        <v>403</v>
      </c>
      <c r="F3" s="9">
        <v>12175.51</v>
      </c>
      <c r="G3" s="9">
        <v>17.3</v>
      </c>
      <c r="H3" s="9">
        <v>30.21</v>
      </c>
    </row>
    <row r="4" ht="26" customHeight="1" spans="1:8">
      <c r="A4" s="7">
        <v>45625</v>
      </c>
      <c r="B4" s="6" t="s">
        <v>24</v>
      </c>
      <c r="C4" s="8">
        <v>4</v>
      </c>
      <c r="D4" s="8">
        <v>1393</v>
      </c>
      <c r="E4" s="8">
        <v>384</v>
      </c>
      <c r="F4" s="9">
        <v>12303.42</v>
      </c>
      <c r="G4" s="9">
        <v>27.57</v>
      </c>
      <c r="H4" s="9">
        <v>32.04</v>
      </c>
    </row>
    <row r="5" ht="26" customHeight="1" spans="1:8">
      <c r="A5" s="7">
        <v>45626</v>
      </c>
      <c r="B5" s="6" t="s">
        <v>25</v>
      </c>
      <c r="C5" s="8">
        <v>4</v>
      </c>
      <c r="D5" s="8">
        <v>1850</v>
      </c>
      <c r="E5" s="8">
        <v>503</v>
      </c>
      <c r="F5" s="9">
        <v>15864.79</v>
      </c>
      <c r="G5" s="9">
        <v>27.19</v>
      </c>
      <c r="H5" s="9">
        <v>31.54</v>
      </c>
    </row>
    <row r="6" ht="26" customHeight="1" spans="1:8">
      <c r="A6" s="7">
        <v>45627</v>
      </c>
      <c r="B6" s="6" t="s">
        <v>25</v>
      </c>
      <c r="C6" s="8">
        <v>4</v>
      </c>
      <c r="D6" s="8">
        <v>1474</v>
      </c>
      <c r="E6" s="8">
        <v>411</v>
      </c>
      <c r="F6" s="9">
        <v>13040.71</v>
      </c>
      <c r="G6" s="9">
        <v>27.88</v>
      </c>
      <c r="H6" s="9">
        <v>31.73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6"/>
  <cols>
    <col min="1" max="1" width="25" customWidth="1"/>
    <col min="2" max="7" width="22" customWidth="1"/>
  </cols>
  <sheetData>
    <row r="1" ht="44" customHeight="1" spans="1:7">
      <c r="A1" s="5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ht="26" customHeight="1" spans="1:7">
      <c r="A2" s="6" t="s">
        <v>8</v>
      </c>
      <c r="B2" s="6" t="s">
        <v>32</v>
      </c>
      <c r="C2" s="9">
        <v>11000</v>
      </c>
      <c r="D2" s="9">
        <v>39.29</v>
      </c>
      <c r="E2" s="9">
        <v>2.2</v>
      </c>
      <c r="F2" s="9">
        <v>-18.52</v>
      </c>
      <c r="G2" s="9">
        <v>42.71</v>
      </c>
    </row>
    <row r="3" ht="26" customHeight="1" spans="1:7">
      <c r="A3" s="6" t="s">
        <v>8</v>
      </c>
      <c r="B3" s="6" t="s">
        <v>33</v>
      </c>
      <c r="C3" s="9">
        <v>9000</v>
      </c>
      <c r="D3" s="9">
        <v>32.14</v>
      </c>
      <c r="E3" s="9">
        <v>6.8</v>
      </c>
      <c r="F3" s="9">
        <v>70</v>
      </c>
      <c r="G3" s="9">
        <v>25.71</v>
      </c>
    </row>
    <row r="4" ht="26" customHeight="1" spans="1:7">
      <c r="A4" s="6" t="s">
        <v>8</v>
      </c>
      <c r="B4" s="6" t="s">
        <v>34</v>
      </c>
      <c r="C4" s="9">
        <v>8000</v>
      </c>
      <c r="D4" s="9">
        <v>28.57</v>
      </c>
      <c r="E4" s="9">
        <v>5.3</v>
      </c>
      <c r="F4" s="9">
        <v>47.22</v>
      </c>
      <c r="G4" s="9">
        <v>15.31</v>
      </c>
    </row>
    <row r="5" ht="26" customHeight="1" spans="1:7">
      <c r="A5" s="6" t="s">
        <v>7</v>
      </c>
      <c r="B5" s="6" t="s">
        <v>32</v>
      </c>
      <c r="C5" s="9">
        <v>36000</v>
      </c>
      <c r="D5" s="9">
        <v>36</v>
      </c>
      <c r="E5" s="9">
        <v>2.6</v>
      </c>
      <c r="F5" s="9">
        <v>-13.33</v>
      </c>
      <c r="G5" s="9">
        <v>54.9</v>
      </c>
    </row>
    <row r="6" ht="26" customHeight="1" spans="1:7">
      <c r="A6" s="6" t="s">
        <v>7</v>
      </c>
      <c r="B6" s="6" t="s">
        <v>34</v>
      </c>
      <c r="C6" s="9">
        <v>24000</v>
      </c>
      <c r="D6" s="9">
        <v>24</v>
      </c>
      <c r="E6" s="9">
        <v>6</v>
      </c>
      <c r="F6" s="9">
        <v>46.34</v>
      </c>
      <c r="G6" s="9">
        <v>14.81</v>
      </c>
    </row>
    <row r="7" ht="26" customHeight="1" spans="1:7">
      <c r="A7" s="6" t="s">
        <v>7</v>
      </c>
      <c r="B7" s="6" t="s">
        <v>33</v>
      </c>
      <c r="C7" s="9">
        <v>22000</v>
      </c>
      <c r="D7" s="9">
        <v>22</v>
      </c>
      <c r="E7" s="9">
        <v>8</v>
      </c>
      <c r="F7" s="9">
        <v>66.67</v>
      </c>
      <c r="G7" s="9">
        <v>22.97</v>
      </c>
    </row>
    <row r="8" ht="26" customHeight="1" spans="1:7">
      <c r="A8" s="6" t="s">
        <v>7</v>
      </c>
      <c r="B8" s="6" t="s">
        <v>35</v>
      </c>
      <c r="C8" s="9">
        <v>18000</v>
      </c>
      <c r="D8" s="9">
        <v>18</v>
      </c>
      <c r="E8" s="9">
        <v>5</v>
      </c>
      <c r="F8" s="9">
        <v>42.86</v>
      </c>
      <c r="G8" s="9">
        <v>23.53</v>
      </c>
    </row>
    <row r="9" ht="26" customHeight="1" spans="1:7">
      <c r="A9" s="6" t="s">
        <v>9</v>
      </c>
      <c r="B9" s="6" t="s">
        <v>36</v>
      </c>
      <c r="C9" s="9">
        <v>26000</v>
      </c>
      <c r="D9" s="9">
        <v>45.61</v>
      </c>
      <c r="E9" s="9">
        <v>3</v>
      </c>
      <c r="F9" s="9">
        <v>-11.76</v>
      </c>
      <c r="G9" s="9">
        <v>27.27</v>
      </c>
    </row>
    <row r="10" ht="26" customHeight="1" spans="1:7">
      <c r="A10" s="6" t="s">
        <v>9</v>
      </c>
      <c r="B10" s="6" t="s">
        <v>37</v>
      </c>
      <c r="C10" s="9">
        <v>21000</v>
      </c>
      <c r="D10" s="9">
        <v>36.84</v>
      </c>
      <c r="E10" s="9">
        <v>3.5</v>
      </c>
      <c r="F10" s="9">
        <v>9.38</v>
      </c>
      <c r="G10" s="9">
        <v>24</v>
      </c>
    </row>
    <row r="11" ht="26" customHeight="1" spans="1:7">
      <c r="A11" s="6" t="s">
        <v>9</v>
      </c>
      <c r="B11" s="6" t="s">
        <v>38</v>
      </c>
      <c r="C11" s="9">
        <v>10000</v>
      </c>
      <c r="D11" s="9">
        <v>17.54</v>
      </c>
      <c r="E11" s="9">
        <v>4.2</v>
      </c>
      <c r="F11" s="9">
        <v>35.48</v>
      </c>
      <c r="G11" s="9">
        <v>11.76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3"/>
  <cols>
    <col min="1" max="1" width="25" customWidth="1"/>
    <col min="2" max="4" width="22" customWidth="1"/>
  </cols>
  <sheetData>
    <row r="1" ht="44" customHeight="1" spans="1:4">
      <c r="A1" s="5" t="s">
        <v>0</v>
      </c>
      <c r="B1" s="5" t="s">
        <v>39</v>
      </c>
      <c r="C1" s="5" t="s">
        <v>40</v>
      </c>
      <c r="D1" s="5" t="s">
        <v>41</v>
      </c>
    </row>
    <row r="2" ht="26" customHeight="1" spans="1:4">
      <c r="A2" s="6" t="s">
        <v>8</v>
      </c>
      <c r="B2" s="6" t="s">
        <v>42</v>
      </c>
      <c r="C2" s="9">
        <v>84600</v>
      </c>
      <c r="D2" s="9">
        <v>30</v>
      </c>
    </row>
    <row r="3" ht="26" customHeight="1" spans="1:4">
      <c r="A3" s="6" t="s">
        <v>8</v>
      </c>
      <c r="B3" s="6" t="s">
        <v>43</v>
      </c>
      <c r="C3" s="9">
        <v>45120</v>
      </c>
      <c r="D3" s="9">
        <v>16</v>
      </c>
    </row>
    <row r="4" ht="26" customHeight="1" spans="1:4">
      <c r="A4" s="6" t="s">
        <v>8</v>
      </c>
      <c r="B4" s="6" t="s">
        <v>44</v>
      </c>
      <c r="C4" s="9">
        <v>42300</v>
      </c>
      <c r="D4" s="9">
        <v>15</v>
      </c>
    </row>
    <row r="5" ht="26" customHeight="1" spans="1:4">
      <c r="A5" s="6" t="s">
        <v>8</v>
      </c>
      <c r="B5" s="6" t="s">
        <v>45</v>
      </c>
      <c r="C5" s="9">
        <v>28000</v>
      </c>
      <c r="D5" s="9">
        <v>9.93</v>
      </c>
    </row>
    <row r="6" ht="26" customHeight="1" spans="1:4">
      <c r="A6" s="6" t="s">
        <v>8</v>
      </c>
      <c r="B6" s="6" t="s">
        <v>46</v>
      </c>
      <c r="C6" s="9">
        <v>9306</v>
      </c>
      <c r="D6" s="9">
        <v>3.3</v>
      </c>
    </row>
    <row r="7" ht="26" customHeight="1" spans="1:4">
      <c r="A7" s="6" t="s">
        <v>8</v>
      </c>
      <c r="B7" s="6" t="s">
        <v>47</v>
      </c>
      <c r="C7" s="9">
        <v>8460</v>
      </c>
      <c r="D7" s="9">
        <v>3</v>
      </c>
    </row>
    <row r="8" ht="26" customHeight="1" spans="1:4">
      <c r="A8" s="6" t="s">
        <v>8</v>
      </c>
      <c r="B8" s="6" t="s">
        <v>48</v>
      </c>
      <c r="C8" s="9">
        <v>6204</v>
      </c>
      <c r="D8" s="9">
        <v>2.2</v>
      </c>
    </row>
    <row r="9" ht="26" customHeight="1" spans="1:4">
      <c r="A9" s="6" t="s">
        <v>7</v>
      </c>
      <c r="B9" s="6" t="s">
        <v>42</v>
      </c>
      <c r="C9" s="9">
        <v>316500</v>
      </c>
      <c r="D9" s="9">
        <v>30</v>
      </c>
    </row>
    <row r="10" ht="26" customHeight="1" spans="1:4">
      <c r="A10" s="6" t="s">
        <v>7</v>
      </c>
      <c r="B10" s="6" t="s">
        <v>44</v>
      </c>
      <c r="C10" s="9">
        <v>158250</v>
      </c>
      <c r="D10" s="9">
        <v>15</v>
      </c>
    </row>
    <row r="11" ht="26" customHeight="1" spans="1:4">
      <c r="A11" s="6" t="s">
        <v>7</v>
      </c>
      <c r="B11" s="6" t="s">
        <v>43</v>
      </c>
      <c r="C11" s="9">
        <v>147700</v>
      </c>
      <c r="D11" s="9">
        <v>14</v>
      </c>
    </row>
    <row r="12" ht="26" customHeight="1" spans="1:4">
      <c r="A12" s="6" t="s">
        <v>7</v>
      </c>
      <c r="B12" s="6" t="s">
        <v>45</v>
      </c>
      <c r="C12" s="9">
        <v>100000</v>
      </c>
      <c r="D12" s="9">
        <v>9.48</v>
      </c>
    </row>
    <row r="13" ht="26" customHeight="1" spans="1:4">
      <c r="A13" s="6" t="s">
        <v>7</v>
      </c>
      <c r="B13" s="6" t="s">
        <v>47</v>
      </c>
      <c r="C13" s="9">
        <v>36925</v>
      </c>
      <c r="D13" s="9">
        <v>3.5</v>
      </c>
    </row>
    <row r="14" ht="26" customHeight="1" spans="1:4">
      <c r="A14" s="6" t="s">
        <v>7</v>
      </c>
      <c r="B14" s="6" t="s">
        <v>46</v>
      </c>
      <c r="C14" s="9">
        <v>31650</v>
      </c>
      <c r="D14" s="9">
        <v>3</v>
      </c>
    </row>
    <row r="15" ht="26" customHeight="1" spans="1:4">
      <c r="A15" s="6" t="s">
        <v>7</v>
      </c>
      <c r="B15" s="6" t="s">
        <v>48</v>
      </c>
      <c r="C15" s="9">
        <v>21100</v>
      </c>
      <c r="D15" s="9">
        <v>2</v>
      </c>
    </row>
    <row r="16" ht="26" customHeight="1" spans="1:4">
      <c r="A16" s="6" t="s">
        <v>9</v>
      </c>
      <c r="B16" s="6" t="s">
        <v>42</v>
      </c>
      <c r="C16" s="9">
        <v>70500</v>
      </c>
      <c r="D16" s="9">
        <v>30</v>
      </c>
    </row>
    <row r="17" ht="26" customHeight="1" spans="1:4">
      <c r="A17" s="6" t="s">
        <v>9</v>
      </c>
      <c r="B17" s="6" t="s">
        <v>45</v>
      </c>
      <c r="C17" s="9">
        <v>57000</v>
      </c>
      <c r="D17" s="9">
        <v>24.26</v>
      </c>
    </row>
    <row r="18" ht="26" customHeight="1" spans="1:4">
      <c r="A18" s="6" t="s">
        <v>9</v>
      </c>
      <c r="B18" s="6" t="s">
        <v>43</v>
      </c>
      <c r="C18" s="9">
        <v>42300</v>
      </c>
      <c r="D18" s="9">
        <v>18</v>
      </c>
    </row>
    <row r="19" ht="26" customHeight="1" spans="1:4">
      <c r="A19" s="6" t="s">
        <v>9</v>
      </c>
      <c r="B19" s="6" t="s">
        <v>44</v>
      </c>
      <c r="C19" s="9">
        <v>35250</v>
      </c>
      <c r="D19" s="9">
        <v>15</v>
      </c>
    </row>
    <row r="20" ht="26" customHeight="1" spans="1:4">
      <c r="A20" s="6" t="s">
        <v>9</v>
      </c>
      <c r="B20" s="6" t="s">
        <v>47</v>
      </c>
      <c r="C20" s="9">
        <v>21150</v>
      </c>
      <c r="D20" s="9">
        <v>9</v>
      </c>
    </row>
    <row r="21" ht="26" customHeight="1" spans="1:4">
      <c r="A21" s="6" t="s">
        <v>9</v>
      </c>
      <c r="B21" s="6" t="s">
        <v>46</v>
      </c>
      <c r="C21" s="9">
        <v>10920</v>
      </c>
      <c r="D21" s="9">
        <v>4.65</v>
      </c>
    </row>
    <row r="22" ht="26" customHeight="1" spans="1:4">
      <c r="A22" s="6" t="s">
        <v>9</v>
      </c>
      <c r="B22" s="6" t="s">
        <v>48</v>
      </c>
      <c r="C22" s="9">
        <v>9390</v>
      </c>
      <c r="D22" s="9">
        <v>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1" outlineLevelCol="5"/>
  <cols>
    <col min="1" max="6" width="22" customWidth="1"/>
  </cols>
  <sheetData>
    <row r="1" ht="44" customHeight="1" spans="1:6">
      <c r="A1" s="5" t="s">
        <v>17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</v>
      </c>
    </row>
    <row r="2" ht="26" customHeight="1" spans="1:6">
      <c r="A2" s="9">
        <v>235000</v>
      </c>
      <c r="B2" s="9">
        <v>189510</v>
      </c>
      <c r="C2" s="9">
        <v>45490</v>
      </c>
      <c r="D2" s="9">
        <v>57000</v>
      </c>
      <c r="E2" s="9">
        <v>11510</v>
      </c>
      <c r="F2" s="9">
        <v>-11510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5" customWidth="1"/>
    <col min="2" max="2" width="22" customWidth="1"/>
    <col min="3" max="3" width="43" customWidth="1"/>
    <col min="4" max="10" width="22" customWidth="1"/>
  </cols>
  <sheetData>
    <row r="1" ht="44" customHeight="1" spans="1:10">
      <c r="A1" s="5" t="s">
        <v>0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</row>
    <row r="2" ht="26" customHeight="1" spans="1:10">
      <c r="A2" s="6" t="s">
        <v>8</v>
      </c>
      <c r="B2" s="6" t="s">
        <v>62</v>
      </c>
      <c r="C2" s="6" t="s">
        <v>63</v>
      </c>
      <c r="D2" s="9">
        <v>171361</v>
      </c>
      <c r="E2" s="9">
        <v>60.77</v>
      </c>
      <c r="F2" s="9">
        <v>9.05</v>
      </c>
      <c r="G2" s="9">
        <v>21.82</v>
      </c>
      <c r="H2" s="8">
        <v>17200</v>
      </c>
      <c r="I2" s="9">
        <v>85.57</v>
      </c>
      <c r="J2" s="6" t="s">
        <v>64</v>
      </c>
    </row>
    <row r="3" ht="26" customHeight="1" spans="1:10">
      <c r="A3" s="6" t="s">
        <v>8</v>
      </c>
      <c r="B3" s="6" t="s">
        <v>65</v>
      </c>
      <c r="C3" s="6" t="s">
        <v>66</v>
      </c>
      <c r="D3" s="9">
        <v>52485</v>
      </c>
      <c r="E3" s="9">
        <v>18.61</v>
      </c>
      <c r="F3" s="9">
        <v>9.91</v>
      </c>
      <c r="G3" s="9">
        <v>71.43</v>
      </c>
      <c r="H3" s="8">
        <v>600</v>
      </c>
      <c r="I3" s="9">
        <v>2.99</v>
      </c>
      <c r="J3" s="6" t="s">
        <v>67</v>
      </c>
    </row>
    <row r="4" ht="26" customHeight="1" spans="1:10">
      <c r="A4" s="6" t="s">
        <v>8</v>
      </c>
      <c r="B4" s="6" t="s">
        <v>68</v>
      </c>
      <c r="C4" s="6" t="s">
        <v>69</v>
      </c>
      <c r="D4" s="9">
        <v>21110.4</v>
      </c>
      <c r="E4" s="9">
        <v>7.49</v>
      </c>
      <c r="F4" s="9">
        <v>10.42</v>
      </c>
      <c r="G4" s="9">
        <v>64</v>
      </c>
      <c r="H4" s="8">
        <v>540</v>
      </c>
      <c r="I4" s="9">
        <v>2.69</v>
      </c>
      <c r="J4" s="6" t="s">
        <v>67</v>
      </c>
    </row>
    <row r="5" ht="26" customHeight="1" spans="1:10">
      <c r="A5" s="6" t="s">
        <v>8</v>
      </c>
      <c r="B5" s="6" t="s">
        <v>70</v>
      </c>
      <c r="C5" s="6" t="s">
        <v>71</v>
      </c>
      <c r="D5" s="9">
        <v>19939.5</v>
      </c>
      <c r="E5" s="9">
        <v>7.07</v>
      </c>
      <c r="F5" s="9">
        <v>12.54</v>
      </c>
      <c r="G5" s="9">
        <v>65.63</v>
      </c>
      <c r="H5" s="8">
        <v>550</v>
      </c>
      <c r="I5" s="9">
        <v>2.74</v>
      </c>
      <c r="J5" s="6" t="s">
        <v>67</v>
      </c>
    </row>
    <row r="6" ht="26" customHeight="1" spans="1:10">
      <c r="A6" s="6" t="s">
        <v>8</v>
      </c>
      <c r="B6" s="6" t="s">
        <v>72</v>
      </c>
      <c r="C6" s="6" t="s">
        <v>73</v>
      </c>
      <c r="D6" s="9">
        <v>17104.1</v>
      </c>
      <c r="E6" s="9">
        <v>6.07</v>
      </c>
      <c r="F6" s="9">
        <v>15.2</v>
      </c>
      <c r="G6" s="9">
        <v>32.78</v>
      </c>
      <c r="H6" s="8">
        <v>1210</v>
      </c>
      <c r="I6" s="9">
        <v>6.02</v>
      </c>
      <c r="J6" s="6" t="s">
        <v>74</v>
      </c>
    </row>
    <row r="7" ht="26" customHeight="1" spans="1:10">
      <c r="A7" s="6" t="s">
        <v>7</v>
      </c>
      <c r="B7" s="6" t="s">
        <v>75</v>
      </c>
      <c r="C7" s="6" t="s">
        <v>76</v>
      </c>
      <c r="D7" s="9">
        <v>410900</v>
      </c>
      <c r="E7" s="9">
        <v>38.95</v>
      </c>
      <c r="F7" s="9">
        <v>8.32</v>
      </c>
      <c r="G7" s="9">
        <v>31.11</v>
      </c>
      <c r="H7" s="8">
        <v>24800</v>
      </c>
      <c r="I7" s="9">
        <v>89.86</v>
      </c>
      <c r="J7" s="6" t="s">
        <v>77</v>
      </c>
    </row>
    <row r="8" ht="26" customHeight="1" spans="1:10">
      <c r="A8" s="6" t="s">
        <v>7</v>
      </c>
      <c r="B8" s="6" t="s">
        <v>78</v>
      </c>
      <c r="C8" s="6" t="s">
        <v>79</v>
      </c>
      <c r="D8" s="9">
        <v>111748</v>
      </c>
      <c r="E8" s="9">
        <v>10.59</v>
      </c>
      <c r="F8" s="9">
        <v>10.38</v>
      </c>
      <c r="G8" s="9">
        <v>100</v>
      </c>
      <c r="H8" s="8">
        <v>0</v>
      </c>
      <c r="I8" s="9">
        <v>0</v>
      </c>
      <c r="J8" s="6" t="s">
        <v>80</v>
      </c>
    </row>
    <row r="9" ht="26" customHeight="1" spans="1:10">
      <c r="A9" s="6" t="s">
        <v>7</v>
      </c>
      <c r="B9" s="6" t="s">
        <v>81</v>
      </c>
      <c r="C9" s="6" t="s">
        <v>82</v>
      </c>
      <c r="D9" s="9">
        <v>107940</v>
      </c>
      <c r="E9" s="9">
        <v>10.23</v>
      </c>
      <c r="F9" s="9">
        <v>11.58</v>
      </c>
      <c r="G9" s="9">
        <v>100</v>
      </c>
      <c r="H9" s="8">
        <v>0</v>
      </c>
      <c r="I9" s="9">
        <v>0</v>
      </c>
      <c r="J9" s="6" t="s">
        <v>80</v>
      </c>
    </row>
    <row r="10" ht="26" customHeight="1" spans="1:10">
      <c r="A10" s="6" t="s">
        <v>7</v>
      </c>
      <c r="B10" s="6" t="s">
        <v>83</v>
      </c>
      <c r="C10" s="6" t="s">
        <v>84</v>
      </c>
      <c r="D10" s="9">
        <v>102459</v>
      </c>
      <c r="E10" s="9">
        <v>9.71</v>
      </c>
      <c r="F10" s="9">
        <v>9.17</v>
      </c>
      <c r="G10" s="9">
        <v>100</v>
      </c>
      <c r="H10" s="8">
        <v>0</v>
      </c>
      <c r="I10" s="9">
        <v>0</v>
      </c>
      <c r="J10" s="6" t="s">
        <v>80</v>
      </c>
    </row>
    <row r="11" ht="26" customHeight="1" spans="1:10">
      <c r="A11" s="6" t="s">
        <v>7</v>
      </c>
      <c r="B11" s="6" t="s">
        <v>85</v>
      </c>
      <c r="C11" s="6" t="s">
        <v>86</v>
      </c>
      <c r="D11" s="9">
        <v>76455</v>
      </c>
      <c r="E11" s="9">
        <v>7.25</v>
      </c>
      <c r="F11" s="9">
        <v>9.42</v>
      </c>
      <c r="G11" s="9">
        <v>100</v>
      </c>
      <c r="H11" s="8">
        <v>0</v>
      </c>
      <c r="I11" s="9">
        <v>0</v>
      </c>
      <c r="J11" s="6" t="s">
        <v>80</v>
      </c>
    </row>
    <row r="12" ht="26" customHeight="1" spans="1:10">
      <c r="A12" s="6" t="s">
        <v>7</v>
      </c>
      <c r="B12" s="6" t="s">
        <v>87</v>
      </c>
      <c r="C12" s="6" t="s">
        <v>88</v>
      </c>
      <c r="D12" s="9">
        <v>66528</v>
      </c>
      <c r="E12" s="9">
        <v>6.31</v>
      </c>
      <c r="F12" s="9">
        <v>8.42</v>
      </c>
      <c r="G12" s="9">
        <v>75</v>
      </c>
      <c r="H12" s="8">
        <v>900</v>
      </c>
      <c r="I12" s="9">
        <v>3.26</v>
      </c>
      <c r="J12" s="6" t="s">
        <v>67</v>
      </c>
    </row>
    <row r="13" ht="26" customHeight="1" spans="1:10">
      <c r="A13" s="6" t="s">
        <v>7</v>
      </c>
      <c r="B13" s="6" t="s">
        <v>89</v>
      </c>
      <c r="C13" s="6" t="s">
        <v>90</v>
      </c>
      <c r="D13" s="9">
        <v>62979</v>
      </c>
      <c r="E13" s="9">
        <v>5.97</v>
      </c>
      <c r="F13" s="9">
        <v>9.84</v>
      </c>
      <c r="G13" s="9">
        <v>80.77</v>
      </c>
      <c r="H13" s="8">
        <v>500</v>
      </c>
      <c r="I13" s="9">
        <v>1.81</v>
      </c>
      <c r="J13" s="6" t="s">
        <v>67</v>
      </c>
    </row>
    <row r="14" ht="26" customHeight="1" spans="1:10">
      <c r="A14" s="6" t="s">
        <v>7</v>
      </c>
      <c r="B14" s="6" t="s">
        <v>91</v>
      </c>
      <c r="C14" s="6" t="s">
        <v>92</v>
      </c>
      <c r="D14" s="9">
        <v>46389</v>
      </c>
      <c r="E14" s="9">
        <v>4.4</v>
      </c>
      <c r="F14" s="9">
        <v>9.27</v>
      </c>
      <c r="G14" s="9">
        <v>75</v>
      </c>
      <c r="H14" s="8">
        <v>700</v>
      </c>
      <c r="I14" s="9">
        <v>2.54</v>
      </c>
      <c r="J14" s="6" t="s">
        <v>67</v>
      </c>
    </row>
    <row r="15" ht="26" customHeight="1" spans="1:10">
      <c r="A15" s="6" t="s">
        <v>7</v>
      </c>
      <c r="B15" s="6" t="s">
        <v>93</v>
      </c>
      <c r="C15" s="6" t="s">
        <v>94</v>
      </c>
      <c r="D15" s="9">
        <v>35619</v>
      </c>
      <c r="E15" s="9">
        <v>3.38</v>
      </c>
      <c r="F15" s="9">
        <v>14.6</v>
      </c>
      <c r="G15" s="9">
        <v>100</v>
      </c>
      <c r="H15" s="8">
        <v>0</v>
      </c>
      <c r="I15" s="9">
        <v>0</v>
      </c>
      <c r="J15" s="6" t="s">
        <v>80</v>
      </c>
    </row>
    <row r="16" ht="26" customHeight="1" spans="1:10">
      <c r="A16" s="6" t="s">
        <v>7</v>
      </c>
      <c r="B16" s="6" t="s">
        <v>95</v>
      </c>
      <c r="C16" s="6" t="s">
        <v>96</v>
      </c>
      <c r="D16" s="9">
        <v>33983</v>
      </c>
      <c r="E16" s="9">
        <v>3.22</v>
      </c>
      <c r="F16" s="9">
        <v>11.18</v>
      </c>
      <c r="G16" s="9">
        <v>70.83</v>
      </c>
      <c r="H16" s="8">
        <v>700</v>
      </c>
      <c r="I16" s="9">
        <v>2.54</v>
      </c>
      <c r="J16" s="6" t="s">
        <v>67</v>
      </c>
    </row>
    <row r="17" ht="26" customHeight="1" spans="1:10">
      <c r="A17" s="6" t="s">
        <v>9</v>
      </c>
      <c r="B17" s="6" t="s">
        <v>97</v>
      </c>
      <c r="C17" s="6" t="s">
        <v>98</v>
      </c>
      <c r="D17" s="9">
        <v>68672</v>
      </c>
      <c r="E17" s="9">
        <v>29.22</v>
      </c>
      <c r="F17" s="9">
        <v>17.04</v>
      </c>
      <c r="G17" s="9">
        <v>11.18</v>
      </c>
      <c r="H17" s="8">
        <v>13500</v>
      </c>
      <c r="I17" s="9">
        <v>72.58</v>
      </c>
      <c r="J17" s="6" t="s">
        <v>64</v>
      </c>
    </row>
    <row r="18" ht="26" customHeight="1" spans="1:10">
      <c r="A18" s="6" t="s">
        <v>9</v>
      </c>
      <c r="B18" s="6" t="s">
        <v>99</v>
      </c>
      <c r="C18" s="6" t="s">
        <v>100</v>
      </c>
      <c r="D18" s="9">
        <v>64457</v>
      </c>
      <c r="E18" s="9">
        <v>27.43</v>
      </c>
      <c r="F18" s="9">
        <v>23.27</v>
      </c>
      <c r="G18" s="9">
        <v>82.69</v>
      </c>
      <c r="H18" s="8">
        <v>900</v>
      </c>
      <c r="I18" s="9">
        <v>4.84</v>
      </c>
      <c r="J18" s="6" t="s">
        <v>67</v>
      </c>
    </row>
    <row r="19" ht="26" customHeight="1" spans="1:10">
      <c r="A19" s="6" t="s">
        <v>9</v>
      </c>
      <c r="B19" s="6" t="s">
        <v>101</v>
      </c>
      <c r="C19" s="6" t="s">
        <v>102</v>
      </c>
      <c r="D19" s="9">
        <v>49569</v>
      </c>
      <c r="E19" s="9">
        <v>21.09</v>
      </c>
      <c r="F19" s="9">
        <v>25.22</v>
      </c>
      <c r="G19" s="9">
        <v>91.18</v>
      </c>
      <c r="H19" s="8">
        <v>300</v>
      </c>
      <c r="I19" s="9">
        <v>1.61</v>
      </c>
      <c r="J19" s="6" t="s">
        <v>103</v>
      </c>
    </row>
    <row r="20" ht="26" customHeight="1" spans="1:10">
      <c r="A20" s="6" t="s">
        <v>9</v>
      </c>
      <c r="B20" s="6" t="s">
        <v>104</v>
      </c>
      <c r="C20" s="6" t="s">
        <v>105</v>
      </c>
      <c r="D20" s="9">
        <v>39567</v>
      </c>
      <c r="E20" s="9">
        <v>16.84</v>
      </c>
      <c r="F20" s="9">
        <v>29.32</v>
      </c>
      <c r="G20" s="9">
        <v>78.57</v>
      </c>
      <c r="H20" s="8">
        <v>900</v>
      </c>
      <c r="I20" s="9">
        <v>4.84</v>
      </c>
      <c r="J20" s="6" t="s">
        <v>67</v>
      </c>
    </row>
    <row r="21" ht="26" customHeight="1" spans="1:10">
      <c r="A21" s="6" t="s">
        <v>9</v>
      </c>
      <c r="B21" s="6" t="s">
        <v>106</v>
      </c>
      <c r="C21" s="6" t="s">
        <v>107</v>
      </c>
      <c r="D21" s="9">
        <v>12735</v>
      </c>
      <c r="E21" s="9">
        <v>5.42</v>
      </c>
      <c r="F21" s="9">
        <v>48.68</v>
      </c>
      <c r="G21" s="9">
        <v>33.33</v>
      </c>
      <c r="H21" s="8">
        <v>3000</v>
      </c>
      <c r="I21" s="9">
        <v>16.13</v>
      </c>
      <c r="J21" s="6" t="s">
        <v>74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4"/>
  <cols>
    <col min="1" max="1" width="25" customWidth="1"/>
    <col min="2" max="2" width="22" customWidth="1"/>
    <col min="3" max="3" width="43" customWidth="1"/>
    <col min="4" max="9" width="22" customWidth="1"/>
  </cols>
  <sheetData>
    <row r="1" ht="44" customHeight="1" spans="1:9">
      <c r="A1" s="5" t="s">
        <v>0</v>
      </c>
      <c r="B1" s="5" t="s">
        <v>14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17</v>
      </c>
      <c r="H1" s="5" t="s">
        <v>18</v>
      </c>
      <c r="I1" s="5" t="s">
        <v>19</v>
      </c>
    </row>
    <row r="2" ht="26" customHeight="1" spans="1:9">
      <c r="A2" s="6" t="s">
        <v>7</v>
      </c>
      <c r="B2" s="7">
        <v>45625</v>
      </c>
      <c r="C2" s="6" t="s">
        <v>112</v>
      </c>
      <c r="D2" s="6" t="s">
        <v>113</v>
      </c>
      <c r="E2" s="6" t="s">
        <v>114</v>
      </c>
      <c r="F2" s="8">
        <v>4</v>
      </c>
      <c r="G2" s="9">
        <v>103891.87</v>
      </c>
      <c r="H2" s="9">
        <v>34.83</v>
      </c>
      <c r="I2" s="9">
        <v>25.33</v>
      </c>
    </row>
    <row r="3" ht="26" customHeight="1" spans="1:9">
      <c r="A3" s="6" t="s">
        <v>8</v>
      </c>
      <c r="B3" s="7">
        <v>45625</v>
      </c>
      <c r="C3" s="6" t="s">
        <v>115</v>
      </c>
      <c r="D3" s="6" t="s">
        <v>116</v>
      </c>
      <c r="E3" s="6" t="s">
        <v>117</v>
      </c>
      <c r="F3" s="8">
        <v>4</v>
      </c>
      <c r="G3" s="9">
        <v>12175.51</v>
      </c>
      <c r="H3" s="9">
        <v>17.3</v>
      </c>
      <c r="I3" s="9">
        <v>30.21</v>
      </c>
    </row>
    <row r="4" ht="26" customHeight="1" spans="1:9">
      <c r="A4" s="6" t="s">
        <v>9</v>
      </c>
      <c r="B4" s="7">
        <v>45626</v>
      </c>
      <c r="C4" s="6" t="s">
        <v>118</v>
      </c>
      <c r="D4" s="6" t="s">
        <v>119</v>
      </c>
      <c r="E4" s="6" t="s">
        <v>120</v>
      </c>
      <c r="F4" s="8">
        <v>11</v>
      </c>
      <c r="G4" s="9">
        <v>73193.4</v>
      </c>
      <c r="H4" s="9">
        <v>9</v>
      </c>
      <c r="I4" s="9">
        <v>16.88</v>
      </c>
    </row>
    <row r="5" ht="26" customHeight="1" spans="1:9">
      <c r="A5" s="6" t="s">
        <v>7</v>
      </c>
      <c r="B5" s="7">
        <v>45627</v>
      </c>
      <c r="C5" s="6" t="s">
        <v>121</v>
      </c>
      <c r="D5" s="6" t="s">
        <v>122</v>
      </c>
      <c r="E5" s="6" t="s">
        <v>116</v>
      </c>
      <c r="F5" s="8">
        <v>2</v>
      </c>
      <c r="G5" s="9">
        <v>20715.99</v>
      </c>
      <c r="H5" s="9">
        <v>34.94</v>
      </c>
      <c r="I5" s="9">
        <v>26.97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4"/>
  <sheetViews>
    <sheetView tabSelected="1" workbookViewId="0">
      <selection activeCell="A1" sqref="A1"/>
    </sheetView>
  </sheetViews>
  <sheetFormatPr defaultColWidth="9" defaultRowHeight="14.25" outlineLevelRow="3" outlineLevelCol="2"/>
  <cols>
    <col min="1" max="3" width="24" customWidth="1"/>
  </cols>
  <sheetData>
    <row r="1" ht="25" customHeight="1" spans="1:3">
      <c r="A1" s="1" t="s">
        <v>123</v>
      </c>
      <c r="B1" s="1" t="s">
        <v>124</v>
      </c>
      <c r="C1" s="1" t="s">
        <v>125</v>
      </c>
    </row>
    <row r="2" ht="25" customHeight="1" spans="1:3">
      <c r="A2" s="2" t="s">
        <v>7</v>
      </c>
      <c r="B2" s="3">
        <f>'01_渠道经营'!B2/10000</f>
        <v>102</v>
      </c>
      <c r="C2" s="3">
        <f>'01_渠道经营'!C2/10000</f>
        <v>105.5</v>
      </c>
    </row>
    <row r="3" ht="25" customHeight="1" spans="1:3">
      <c r="A3" s="2" t="s">
        <v>8</v>
      </c>
      <c r="B3" s="3">
        <f>'01_渠道经营'!B3/10000</f>
        <v>30</v>
      </c>
      <c r="C3" s="3">
        <f>'01_渠道经营'!C3/10000</f>
        <v>28.2</v>
      </c>
    </row>
    <row r="4" ht="25" customHeight="1" spans="1:3">
      <c r="A4" s="2" t="s">
        <v>126</v>
      </c>
      <c r="B4" s="3">
        <f>'01_渠道经营'!B4/10000</f>
        <v>18</v>
      </c>
      <c r="C4" s="3">
        <f>'01_渠道经营'!C4/10000</f>
        <v>23.5</v>
      </c>
    </row>
  </sheetData>
  <pageMargins left="0.7" right="0.7" top="0.75" bottom="0.75" header="0.3" footer="0.3"/>
  <pageSetup paperSize="9" scale="85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1" width="36" customWidth="1"/>
    <col min="2" max="2" width="24" customWidth="1"/>
  </cols>
  <sheetData>
    <row r="1" ht="25" customHeight="1" spans="1:2">
      <c r="A1" s="1" t="s">
        <v>127</v>
      </c>
      <c r="B1" s="1" t="s">
        <v>128</v>
      </c>
    </row>
    <row r="2" ht="25" customHeight="1" spans="1:2">
      <c r="A2" s="2" t="s">
        <v>129</v>
      </c>
      <c r="B2" s="4">
        <f>'04_EU优惠券异常'!G2/100</f>
        <v>0.2782</v>
      </c>
    </row>
    <row r="3" ht="25" customHeight="1" spans="1:2">
      <c r="A3" s="2" t="s">
        <v>130</v>
      </c>
      <c r="B3" s="4">
        <f>'04_EU优惠券异常'!G3/100</f>
        <v>0.173</v>
      </c>
    </row>
    <row r="4" ht="25" customHeight="1" spans="1:2">
      <c r="A4" s="2" t="s">
        <v>131</v>
      </c>
      <c r="B4" s="4">
        <f>'04_EU优惠券异常'!G4/100</f>
        <v>0.2757</v>
      </c>
    </row>
    <row r="5" ht="25" customHeight="1" spans="1:2">
      <c r="A5" s="2" t="s">
        <v>132</v>
      </c>
      <c r="B5" s="4">
        <f>'04_EU优惠券异常'!G5/100</f>
        <v>0.2719</v>
      </c>
    </row>
    <row r="6" ht="25" customHeight="1" spans="1:2">
      <c r="A6" s="2" t="s">
        <v>133</v>
      </c>
      <c r="B6" s="4">
        <f>'04_EU优惠券异常'!G6/100</f>
        <v>0.2788</v>
      </c>
    </row>
  </sheetData>
  <pageMargins left="0.7" right="0.7" top="0.75" bottom="0.75" header="0.3" footer="0.3"/>
  <pageSetup paperSize="9" scale="87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0"/>
  <sheetViews>
    <sheetView workbookViewId="0">
      <selection activeCell="A1" sqref="A1"/>
    </sheetView>
  </sheetViews>
  <sheetFormatPr defaultColWidth="9" defaultRowHeight="14.25" outlineLevelCol="1"/>
  <cols>
    <col min="1" max="2" width="24" customWidth="1"/>
  </cols>
  <sheetData>
    <row r="1" ht="25" customHeight="1" spans="1:2">
      <c r="A1" s="1" t="s">
        <v>39</v>
      </c>
      <c r="B1" s="1" t="s">
        <v>134</v>
      </c>
    </row>
    <row r="2" ht="25" customHeight="1" spans="1:2">
      <c r="A2" s="2" t="s">
        <v>135</v>
      </c>
      <c r="B2" s="3">
        <f>'07_TK广告上限'!A2</f>
        <v>235000</v>
      </c>
    </row>
    <row r="3" ht="25" customHeight="1" spans="1:2">
      <c r="A3" s="2" t="s">
        <v>136</v>
      </c>
      <c r="B3" s="3">
        <f>-SUMIFS('06_成本构成'!$C$2:$C$22,'06_成本构成'!$A$2:$A$22,"TikTok Shop SEA",'06_成本构成'!$B$2:$B$22,"COGS")</f>
        <v>-70500</v>
      </c>
    </row>
    <row r="4" ht="25" customHeight="1" spans="1:2">
      <c r="A4" s="2" t="s">
        <v>137</v>
      </c>
      <c r="B4" s="3">
        <f>-SUMIFS('06_成本构成'!$C$2:$C$22,'06_成本构成'!$A$2:$A$22,"TikTok Shop SEA",'06_成本构成'!$B$2:$B$22,"履约/FBA")</f>
        <v>-42300</v>
      </c>
    </row>
    <row r="5" ht="25" customHeight="1" spans="1:2">
      <c r="A5" s="2" t="s">
        <v>44</v>
      </c>
      <c r="B5" s="3">
        <f>-SUMIFS('06_成本构成'!$C$2:$C$22,'06_成本构成'!$A$2:$A$22,"TikTok Shop SEA",'06_成本构成'!$B$2:$B$22,"平台佣金")</f>
        <v>-35250</v>
      </c>
    </row>
    <row r="6" ht="25" customHeight="1" spans="1:2">
      <c r="A6" s="2" t="s">
        <v>45</v>
      </c>
      <c r="B6" s="3">
        <f>-SUMIFS('06_成本构成'!$C$2:$C$22,'06_成本构成'!$A$2:$A$22,"TikTok Shop SEA",'06_成本构成'!$B$2:$B$22,"广告费用")</f>
        <v>-57000</v>
      </c>
    </row>
    <row r="7" ht="25" customHeight="1" spans="1:2">
      <c r="A7" s="2" t="s">
        <v>47</v>
      </c>
      <c r="B7" s="3">
        <f>-SUMIFS('06_成本构成'!$C$2:$C$22,'06_成本构成'!$A$2:$A$22,"TikTok Shop SEA",'06_成本构成'!$B$2:$B$22,"退货成本")</f>
        <v>-21150</v>
      </c>
    </row>
    <row r="8" ht="25" customHeight="1" spans="1:2">
      <c r="A8" s="2" t="s">
        <v>138</v>
      </c>
      <c r="B8" s="3">
        <f>-SUMIFS('06_成本构成'!$C$2:$C$22,'06_成本构成'!$A$2:$A$22,"TikTok Shop SEA",'06_成本构成'!$B$2:$B$22,"头程运费分摊")</f>
        <v>-10920</v>
      </c>
    </row>
    <row r="9" ht="25" customHeight="1" spans="1:2">
      <c r="A9" s="2" t="s">
        <v>48</v>
      </c>
      <c r="B9" s="3">
        <f>-SUMIFS('06_成本构成'!$C$2:$C$22,'06_成本构成'!$A$2:$A$22,"TikTok Shop SEA",'06_成本构成'!$B$2:$B$22,"其他费用")</f>
        <v>-9390</v>
      </c>
    </row>
    <row r="10" ht="25" customHeight="1" spans="1:2">
      <c r="A10" s="2" t="s">
        <v>139</v>
      </c>
      <c r="B10" s="3">
        <f>SUM(B2:B9)</f>
        <v>-11510</v>
      </c>
    </row>
  </sheetData>
  <pageMargins left="0.7" right="0.7" top="0.75" bottom="0.75" header="0.3" footer="0.3"/>
  <pageSetup paperSize="9" scale="6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01_渠道经营</vt:lpstr>
      <vt:lpstr>02_整体广告预算</vt:lpstr>
      <vt:lpstr>03_EU每日销售</vt:lpstr>
      <vt:lpstr>04_EU优惠券异常</vt:lpstr>
      <vt:lpstr>05_广告效率</vt:lpstr>
      <vt:lpstr>06_成本构成</vt:lpstr>
      <vt:lpstr>07_TK广告上限</vt:lpstr>
      <vt:lpstr>08_商品库存</vt:lpstr>
      <vt:lpstr>09_四段异常</vt:lpstr>
      <vt:lpstr>10_销售目标对比</vt:lpstr>
      <vt:lpstr>11_EU转化率对比</vt:lpstr>
      <vt:lpstr>12_TK利润瀑布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Fiona</cp:lastModifiedBy>
  <dcterms:created xsi:type="dcterms:W3CDTF">2026-10-16T02:15:00Z</dcterms:created>
  <dcterms:modified xsi:type="dcterms:W3CDTF">2026-10-16T02:17:40Z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76F9294B08B844E5871BA6E5951D15C7_12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